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Samu\OneDrive\Bureau\PROG-PROJECT\The-Square-Final\Documentation\"/>
    </mc:Choice>
  </mc:AlternateContent>
  <xr:revisionPtr revIDLastSave="0" documentId="13_ncr:1_{4333E76B-2B08-4694-9877-068BDF5C91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apons" sheetId="1" r:id="rId1"/>
    <sheet name="Boots" sheetId="5" r:id="rId2"/>
    <sheet name="Leggings" sheetId="4" r:id="rId3"/>
    <sheet name="Chestplates" sheetId="3" r:id="rId4"/>
    <sheet name="Helmets" sheetId="2" r:id="rId5"/>
    <sheet name="Ba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6" l="1"/>
  <c r="M3" i="6"/>
  <c r="M4" i="6"/>
  <c r="M5" i="6"/>
  <c r="M6" i="6"/>
  <c r="M7" i="6"/>
  <c r="M8" i="6"/>
  <c r="M9" i="6"/>
  <c r="M10" i="6"/>
  <c r="M11" i="6"/>
  <c r="M12" i="6"/>
  <c r="M13" i="6"/>
  <c r="J2" i="6"/>
  <c r="J3" i="6"/>
  <c r="J4" i="6"/>
  <c r="J5" i="6"/>
  <c r="J6" i="6"/>
  <c r="J7" i="6"/>
  <c r="J8" i="6"/>
  <c r="J9" i="6"/>
  <c r="J10" i="6"/>
  <c r="J11" i="6"/>
  <c r="J12" i="6"/>
  <c r="J13" i="6"/>
  <c r="P2" i="6"/>
  <c r="P3" i="6"/>
  <c r="P4" i="6"/>
  <c r="P5" i="6"/>
  <c r="P6" i="6"/>
  <c r="P7" i="6"/>
  <c r="P8" i="6"/>
  <c r="P9" i="6"/>
  <c r="P10" i="6"/>
  <c r="P11" i="6"/>
  <c r="P12" i="6"/>
  <c r="P13" i="6"/>
  <c r="G2" i="6"/>
  <c r="G3" i="6"/>
  <c r="G4" i="6"/>
  <c r="G5" i="6"/>
  <c r="G6" i="6"/>
  <c r="G7" i="6"/>
  <c r="G8" i="6"/>
  <c r="G9" i="6"/>
  <c r="G10" i="6"/>
  <c r="G11" i="6"/>
  <c r="G12" i="6"/>
  <c r="G13" i="6"/>
  <c r="L2" i="6"/>
  <c r="L3" i="6"/>
  <c r="L4" i="6"/>
  <c r="L5" i="6"/>
  <c r="L6" i="6"/>
  <c r="L7" i="6"/>
  <c r="L8" i="6"/>
  <c r="L9" i="6"/>
  <c r="L10" i="6"/>
  <c r="L11" i="6"/>
  <c r="L12" i="6"/>
  <c r="L13" i="6"/>
  <c r="I2" i="6"/>
  <c r="I3" i="6"/>
  <c r="I4" i="6"/>
  <c r="I5" i="6"/>
  <c r="I6" i="6"/>
  <c r="I7" i="6"/>
  <c r="I8" i="6"/>
  <c r="I9" i="6"/>
  <c r="I10" i="6"/>
  <c r="I11" i="6"/>
  <c r="I12" i="6"/>
  <c r="I13" i="6"/>
  <c r="O3" i="6"/>
  <c r="O2" i="6"/>
  <c r="O4" i="6"/>
  <c r="O5" i="6"/>
  <c r="O6" i="6"/>
  <c r="O7" i="6"/>
  <c r="O8" i="6"/>
  <c r="O9" i="6"/>
  <c r="O10" i="6"/>
  <c r="O11" i="6"/>
  <c r="O12" i="6"/>
  <c r="O13" i="6"/>
  <c r="F2" i="6"/>
  <c r="F3" i="6"/>
  <c r="F4" i="6"/>
  <c r="F5" i="6"/>
  <c r="F6" i="6"/>
  <c r="F7" i="6"/>
  <c r="F8" i="6"/>
  <c r="F9" i="6"/>
  <c r="F10" i="6"/>
  <c r="F11" i="6"/>
  <c r="F12" i="6"/>
  <c r="F13" i="6"/>
</calcChain>
</file>

<file path=xl/sharedStrings.xml><?xml version="1.0" encoding="utf-8"?>
<sst xmlns="http://schemas.openxmlformats.org/spreadsheetml/2006/main" count="359" uniqueCount="151">
  <si>
    <t>Fait</t>
  </si>
  <si>
    <t>Item Name</t>
  </si>
  <si>
    <t>baseDamage</t>
  </si>
  <si>
    <t>baseCritChance</t>
  </si>
  <si>
    <t>baseCritDamage</t>
  </si>
  <si>
    <t>baseKnockbackPower</t>
  </si>
  <si>
    <t>doubleSquareCoinsChances</t>
  </si>
  <si>
    <t>dropChance</t>
  </si>
  <si>
    <t>fireAttackChance</t>
  </si>
  <si>
    <t>iceAttackChance</t>
  </si>
  <si>
    <t>poisonAttackChance</t>
  </si>
  <si>
    <t>vampire</t>
  </si>
  <si>
    <t>[x]</t>
  </si>
  <si>
    <t>OldSword</t>
  </si>
  <si>
    <t>SlimeSword</t>
  </si>
  <si>
    <t>BoneSword</t>
  </si>
  <si>
    <t>0.15</t>
  </si>
  <si>
    <t>0.25</t>
  </si>
  <si>
    <t>GuardianSkeletonSpear</t>
  </si>
  <si>
    <t>0.5</t>
  </si>
  <si>
    <t>SnakeDagger</t>
  </si>
  <si>
    <t>0.3</t>
  </si>
  <si>
    <t>Katana</t>
  </si>
  <si>
    <t>MummyScyth</t>
  </si>
  <si>
    <t>0.6</t>
  </si>
  <si>
    <t>0.1</t>
  </si>
  <si>
    <t>IcySword</t>
  </si>
  <si>
    <t>0.2</t>
  </si>
  <si>
    <t>[]</t>
  </si>
  <si>
    <t>IcyMace</t>
  </si>
  <si>
    <t>-0.5</t>
  </si>
  <si>
    <t>0.10</t>
  </si>
  <si>
    <t>SpectralSword</t>
  </si>
  <si>
    <t>SnakeSword</t>
  </si>
  <si>
    <t>PriestStick</t>
  </si>
  <si>
    <t>0.8</t>
  </si>
  <si>
    <t>0.05</t>
  </si>
  <si>
    <t>SlimySpear</t>
  </si>
  <si>
    <t>WolfDagger</t>
  </si>
  <si>
    <t>WoodenSword</t>
  </si>
  <si>
    <t>StoneSword</t>
  </si>
  <si>
    <t>SilverSword</t>
  </si>
  <si>
    <t>IronSword</t>
  </si>
  <si>
    <t>DiamonSword</t>
  </si>
  <si>
    <t>AntimatterSword</t>
  </si>
  <si>
    <t>SquareSword</t>
  </si>
  <si>
    <t>TheButcher</t>
  </si>
  <si>
    <t>ShyronSword</t>
  </si>
  <si>
    <t>baseDefense</t>
  </si>
  <si>
    <t>baseLife</t>
  </si>
  <si>
    <t>dodgeChance</t>
  </si>
  <si>
    <t>doubleMineralDropChance</t>
  </si>
  <si>
    <t>dragonSkin</t>
  </si>
  <si>
    <t>mineralChance</t>
  </si>
  <si>
    <t>negativeEffectReducer</t>
  </si>
  <si>
    <t>regenRate</t>
  </si>
  <si>
    <t>VegetalHelmet</t>
  </si>
  <si>
    <t>BoneHelmet</t>
  </si>
  <si>
    <t>OldHelmet</t>
  </si>
  <si>
    <t>SlimeHelmet</t>
  </si>
  <si>
    <t>0.025</t>
  </si>
  <si>
    <t>LeatherHelmet</t>
  </si>
  <si>
    <t>IronHelmet</t>
  </si>
  <si>
    <t>SlimeAberrationHelmet</t>
  </si>
  <si>
    <t>ShyronHelmet</t>
  </si>
  <si>
    <t>AntimatterHelmet</t>
  </si>
  <si>
    <t>SquareHelmet</t>
  </si>
  <si>
    <t>IceHelmet</t>
  </si>
  <si>
    <t>ObsidianHelmet</t>
  </si>
  <si>
    <t>MiningHelmet</t>
  </si>
  <si>
    <t>Crown</t>
  </si>
  <si>
    <t>Deserter's Hood</t>
  </si>
  <si>
    <t>ElectromagnetismHelmet</t>
  </si>
  <si>
    <t>baseKnockbackResistance</t>
  </si>
  <si>
    <t>VegetalChestplate</t>
  </si>
  <si>
    <t>OldChestplate</t>
  </si>
  <si>
    <t>SlimeChestplate</t>
  </si>
  <si>
    <t>BoneChestplate</t>
  </si>
  <si>
    <t>LeatherChestplate</t>
  </si>
  <si>
    <t>IronChestplate</t>
  </si>
  <si>
    <t>-0.25</t>
  </si>
  <si>
    <t>ShyronChestplate</t>
  </si>
  <si>
    <t>AntimatterChestplate</t>
  </si>
  <si>
    <t>SquareChestplate</t>
  </si>
  <si>
    <t>IceChestplate</t>
  </si>
  <si>
    <t>ObsidianChestplate</t>
  </si>
  <si>
    <t>DragonChestplate</t>
  </si>
  <si>
    <t>Butcher's apron</t>
  </si>
  <si>
    <t>FrozenHeartChestplate</t>
  </si>
  <si>
    <t>WizardChestplate</t>
  </si>
  <si>
    <t>StrongInteractionChestplate</t>
  </si>
  <si>
    <t>baseSpeed</t>
  </si>
  <si>
    <t>VegetalLeggings</t>
  </si>
  <si>
    <t>OldLeggings</t>
  </si>
  <si>
    <t>BoneLeggings</t>
  </si>
  <si>
    <t>SlimeLeggings</t>
  </si>
  <si>
    <t>IronLeggings</t>
  </si>
  <si>
    <t>LeatherLeggings</t>
  </si>
  <si>
    <t>ShyronLeggings</t>
  </si>
  <si>
    <t>AntimatterLeggings</t>
  </si>
  <si>
    <t>SquareLeggings</t>
  </si>
  <si>
    <t>IceLeggings</t>
  </si>
  <si>
    <t>ObsidianLeggings</t>
  </si>
  <si>
    <t>YouthLeggings</t>
  </si>
  <si>
    <t>KangarooLeggings</t>
  </si>
  <si>
    <t>TheStone</t>
  </si>
  <si>
    <t>WeakInteractionChestplate</t>
  </si>
  <si>
    <t>VegetalBoots</t>
  </si>
  <si>
    <t>BoneBoots</t>
  </si>
  <si>
    <t>-0.05</t>
  </si>
  <si>
    <t>OldBoots</t>
  </si>
  <si>
    <t>SlimeBoots</t>
  </si>
  <si>
    <t>-0.2</t>
  </si>
  <si>
    <t>LeatherBoots</t>
  </si>
  <si>
    <t>IronBoots</t>
  </si>
  <si>
    <t>-0.15</t>
  </si>
  <si>
    <t>ShyronBoots</t>
  </si>
  <si>
    <t>AntimatterBoots</t>
  </si>
  <si>
    <t>SquareBoots</t>
  </si>
  <si>
    <t>IceBoots</t>
  </si>
  <si>
    <t>ObsidianBoots</t>
  </si>
  <si>
    <t>PegasusBoots</t>
  </si>
  <si>
    <t>BigFoot</t>
  </si>
  <si>
    <t>NinjaSandals</t>
  </si>
  <si>
    <t>GravityBoots</t>
  </si>
  <si>
    <t>CatName</t>
  </si>
  <si>
    <t>Vegetal</t>
  </si>
  <si>
    <t>Bone</t>
  </si>
  <si>
    <t>Old</t>
  </si>
  <si>
    <t>Slime</t>
  </si>
  <si>
    <t>Leather</t>
  </si>
  <si>
    <t>Iron</t>
  </si>
  <si>
    <t>Shyron</t>
  </si>
  <si>
    <t>Antimatter</t>
  </si>
  <si>
    <t>Square</t>
  </si>
  <si>
    <t>Ice</t>
  </si>
  <si>
    <t>Obsidian</t>
  </si>
  <si>
    <t>baseDef</t>
  </si>
  <si>
    <t>Boots</t>
  </si>
  <si>
    <t>Leggings</t>
  </si>
  <si>
    <t>Chestplate</t>
  </si>
  <si>
    <t>Helmet</t>
  </si>
  <si>
    <t>baseDef2</t>
  </si>
  <si>
    <t>baseLife3</t>
  </si>
  <si>
    <t>baseDef4</t>
  </si>
  <si>
    <t>baseLife5</t>
  </si>
  <si>
    <t>baseDef6</t>
  </si>
  <si>
    <t>baseLife7</t>
  </si>
  <si>
    <t>0.4</t>
  </si>
  <si>
    <t>ID</t>
  </si>
  <si>
    <t>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</si>
</sst>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31DF2-157E-4507-9A0D-754BA20D04C5}" name="Tableau1" displayName="Tableau1" ref="A1:L24" totalsRowShown="0" dataDxfId="60">
  <autoFilter ref="A1:L24" xr:uid="{87031DF2-157E-4507-9A0D-754BA20D04C5}"/>
  <sortState xmlns:xlrd2="http://schemas.microsoft.com/office/spreadsheetml/2017/richdata2" ref="A2:L24">
    <sortCondition ref="C1:C24"/>
  </sortState>
  <tableColumns count="12">
    <tableColumn id="1" xr3:uid="{A931DFD7-4530-47ED-8842-EE0D6DD28366}" name="Fait"/>
    <tableColumn id="2" xr3:uid="{420D6E9E-B468-4B69-9D18-5F9E1A7DD18D}" name="Item Name"/>
    <tableColumn id="3" xr3:uid="{0C9AFF7D-5913-41DC-AD46-F5BF891468C7}" name="baseDamage" dataDxfId="59"/>
    <tableColumn id="4" xr3:uid="{0F62BDD1-0938-4AC7-8FE6-EDBB388D7FC8}" name="baseCritChance" dataDxfId="58"/>
    <tableColumn id="5" xr3:uid="{C0A6E2C2-F1CB-4D97-87D2-9F1DA5079C8A}" name="baseCritDamage" dataDxfId="57"/>
    <tableColumn id="6" xr3:uid="{300BDF1A-51E2-4995-B421-F7AEE9C737EC}" name="baseKnockbackPower" dataDxfId="56"/>
    <tableColumn id="7" xr3:uid="{0CBA8971-2306-4302-B437-0D4D583C33E7}" name="doubleSquareCoinsChances" dataDxfId="55"/>
    <tableColumn id="8" xr3:uid="{F2EAD2FA-FE93-4B0F-9E81-34C7C1ACBF39}" name="dropChance" dataDxfId="54"/>
    <tableColumn id="9" xr3:uid="{C65598FC-8C5F-4577-8829-0D06B40B299B}" name="fireAttackChance" dataDxfId="53"/>
    <tableColumn id="10" xr3:uid="{C6A2685A-61E6-4005-81BA-63236D472FBE}" name="iceAttackChance" dataDxfId="52"/>
    <tableColumn id="11" xr3:uid="{6733D31D-1C19-4D6A-BD3F-C384DF9E172D}" name="poisonAttackChance" dataDxfId="51"/>
    <tableColumn id="12" xr3:uid="{986310F8-7617-4E32-BB2B-F85102958050}" name="vampire" dataDxfId="5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0B3F9D-0CF6-48AA-891D-E1BD0ED4A11C}" name="Tableau5" displayName="Tableau5" ref="A1:L16" totalsRowShown="0" dataDxfId="71">
  <autoFilter ref="A1:L16" xr:uid="{D40B3F9D-0CF6-48AA-891D-E1BD0ED4A11C}"/>
  <sortState xmlns:xlrd2="http://schemas.microsoft.com/office/spreadsheetml/2017/richdata2" ref="A2:K16">
    <sortCondition ref="C1:C16"/>
  </sortState>
  <tableColumns count="12">
    <tableColumn id="1" xr3:uid="{4C7B1321-1F95-4DAD-8934-ED0C388CAE47}" name="Fait"/>
    <tableColumn id="2" xr3:uid="{4C9C06B0-D1A9-494E-97E3-A76318630A3E}" name="Item Name"/>
    <tableColumn id="3" xr3:uid="{CFF22E64-D3E4-4223-8887-30D5B1E52C9B}" name="baseDefense" dataDxfId="70"/>
    <tableColumn id="4" xr3:uid="{9403B165-D390-426A-83E9-F839F4E7DB19}" name="baseLife" dataDxfId="69"/>
    <tableColumn id="5" xr3:uid="{713E89A8-E53D-4F6D-B38D-37A7118FE158}" name="baseSpeed" dataDxfId="68"/>
    <tableColumn id="6" xr3:uid="{4672BED2-50F3-49D5-898D-B6BC101B511D}" name="dodgeChance" dataDxfId="67"/>
    <tableColumn id="7" xr3:uid="{E58BD068-1F32-4A49-BC6A-25DDA6601CDA}" name="doubleMineralDropChance" dataDxfId="66"/>
    <tableColumn id="8" xr3:uid="{AD45836E-A628-4DFB-AB6F-405CCF8E5AFF}" name="dragonSkin" dataDxfId="65"/>
    <tableColumn id="9" xr3:uid="{22E74ADD-2E38-4F97-AD54-AE9A36C1F73B}" name="mineralChance" dataDxfId="64"/>
    <tableColumn id="10" xr3:uid="{7B59C59F-1251-4BBA-83E8-787C8C88E318}" name="negativeEffectReducer" dataDxfId="63"/>
    <tableColumn id="11" xr3:uid="{C1D80EAC-D220-4B50-816E-65C8D711C16F}" name="regenRate" dataDxfId="62"/>
    <tableColumn id="12" xr3:uid="{BDD06371-0958-4E1E-849B-BB4F5D12D8F9}" name="ID" dataDxfId="6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5AFA97-E1E0-482A-9497-985395450A51}" name="Tableau4" displayName="Tableau4" ref="A1:M16" totalsRowShown="0" dataDxfId="49">
  <autoFilter ref="A1:M16" xr:uid="{9D5AFA97-E1E0-482A-9497-985395450A51}"/>
  <sortState xmlns:xlrd2="http://schemas.microsoft.com/office/spreadsheetml/2017/richdata2" ref="A2:M16">
    <sortCondition ref="C1:C16"/>
  </sortState>
  <tableColumns count="13">
    <tableColumn id="1" xr3:uid="{7A6DB2D1-BDB3-4103-A266-CB74DF8DBADF}" name="Fait"/>
    <tableColumn id="2" xr3:uid="{C12A89F5-3C84-48DC-AC83-8AE0C5030E4C}" name="Item Name"/>
    <tableColumn id="3" xr3:uid="{8A7FF1BE-5C4B-4197-9DF4-0CFC8A57A831}" name="baseDefense" dataDxfId="48"/>
    <tableColumn id="4" xr3:uid="{BDFD436D-674E-4121-B0B6-DD5B3E19DAF7}" name="baseLife" dataDxfId="47"/>
    <tableColumn id="5" xr3:uid="{B1752192-24A8-46F3-9072-0F881CB96E4C}" name="baseSpeed" dataDxfId="46"/>
    <tableColumn id="6" xr3:uid="{7967CE1D-2D08-4F0D-826F-F9AD1E9652E6}" name="baseKnockbackPower" dataDxfId="45"/>
    <tableColumn id="7" xr3:uid="{44463F0B-D05B-44F5-B04F-5245BAEBA87A}" name="baseKnockbackResistance" dataDxfId="44"/>
    <tableColumn id="8" xr3:uid="{CC612E38-BEF4-454B-9EFE-BCDECEB58327}" name="dodgeChance" dataDxfId="43"/>
    <tableColumn id="9" xr3:uid="{978A7A4C-77E5-4C87-BC01-E8DB4587EA46}" name="doubleMineralDropChance" dataDxfId="42"/>
    <tableColumn id="10" xr3:uid="{E1BDB32C-AB72-49DA-843F-779EFCD2B150}" name="dragonSkin" dataDxfId="41"/>
    <tableColumn id="11" xr3:uid="{EC3800BF-6C0D-41CD-87BE-44F229049D56}" name="mineralChance" dataDxfId="40"/>
    <tableColumn id="12" xr3:uid="{2EAAF3FE-B28D-46EE-95CA-78FCC738758A}" name="negativeEffectReducer" dataDxfId="39"/>
    <tableColumn id="13" xr3:uid="{C1846008-23F8-4DC4-BD79-1D903D39C52A}" name="regenRate" dataDxfId="38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7E2AED-FD05-4E02-9A68-9DA0CD3FCABD}" name="Tableau3" displayName="Tableau3" ref="A1:O17" totalsRowShown="0">
  <autoFilter ref="A1:O17" xr:uid="{F27E2AED-FD05-4E02-9A68-9DA0CD3FCABD}"/>
  <sortState xmlns:xlrd2="http://schemas.microsoft.com/office/spreadsheetml/2017/richdata2" ref="A2:O17">
    <sortCondition ref="D1:D17"/>
  </sortState>
  <tableColumns count="15">
    <tableColumn id="1" xr3:uid="{49E36D64-20E7-4F2B-B635-60F6BB57A41E}" name="Fait"/>
    <tableColumn id="2" xr3:uid="{729B8E76-47A4-4291-BA12-684B26259D64}" name="Item Name"/>
    <tableColumn id="3" xr3:uid="{30C991F4-C383-44AD-B057-710772363AD0}" name="baseDamage" dataDxfId="37"/>
    <tableColumn id="4" xr3:uid="{2CEDB8D0-E9F9-49C2-9CF3-C6BE3C388BDD}" name="baseDefense" dataDxfId="36"/>
    <tableColumn id="5" xr3:uid="{99446FAB-F5D5-4C9D-A1B0-55B9369B6888}" name="baseLife" dataDxfId="35"/>
    <tableColumn id="6" xr3:uid="{83DC7E50-536B-4912-A389-516AEA39347F}" name="baseCritChance" dataDxfId="34"/>
    <tableColumn id="7" xr3:uid="{4B24B678-D2FD-48AE-A873-73320B6277EA}" name="baseCritDamage" dataDxfId="33"/>
    <tableColumn id="8" xr3:uid="{C84F5657-78A0-48AE-870E-CBEE8CD1309A}" name="baseKnockbackPower" dataDxfId="32"/>
    <tableColumn id="9" xr3:uid="{11180B5B-B2CF-4358-AD96-9082EFCAA9F4}" name="baseKnockbackResistance" dataDxfId="31"/>
    <tableColumn id="10" xr3:uid="{DFE590F7-9A08-451E-BCF4-08F061E28B76}" name="dodgeChance" dataDxfId="30"/>
    <tableColumn id="11" xr3:uid="{95F59A17-6A12-4CF7-B4BB-AFB0DE1CD742}" name="doubleMineralDropChance" dataDxfId="29"/>
    <tableColumn id="12" xr3:uid="{38164A7F-BE47-44C7-8467-E60E1EB52092}" name="dragonSkin" dataDxfId="28"/>
    <tableColumn id="13" xr3:uid="{539D8E64-F6B4-444C-8FD5-FC076BCBCDAC}" name="mineralChance" dataDxfId="27"/>
    <tableColumn id="14" xr3:uid="{8A6DAF2C-EB6E-49D1-98A4-B4C594401BB1}" name="negativeEffectReducer" dataDxfId="26"/>
    <tableColumn id="15" xr3:uid="{7EAB847F-1D45-4C97-8735-40B87E53CABB}" name="regenRate" dataDxfId="2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D8DB75-2C46-448F-8447-05DEF79EDE81}" name="Tableau2" displayName="Tableau2" ref="A1:Q17" totalsRowShown="0">
  <autoFilter ref="A1:Q17" xr:uid="{FED8DB75-2C46-448F-8447-05DEF79EDE81}"/>
  <sortState xmlns:xlrd2="http://schemas.microsoft.com/office/spreadsheetml/2017/richdata2" ref="A2:Q17">
    <sortCondition ref="D1:D17"/>
  </sortState>
  <tableColumns count="17">
    <tableColumn id="1" xr3:uid="{84B53F4A-5D30-4159-A36D-77F29A14443E}" name="Fait"/>
    <tableColumn id="2" xr3:uid="{629AD983-66E2-4676-9E5A-61AE75C480D6}" name="Item Name"/>
    <tableColumn id="3" xr3:uid="{BA36EC76-EDF4-4148-A67F-BE5E250C1258}" name="baseDamage" dataDxfId="24"/>
    <tableColumn id="4" xr3:uid="{7A34D4E5-6065-4096-85F3-93077C225C99}" name="baseDefense" dataDxfId="23"/>
    <tableColumn id="5" xr3:uid="{8B328CA7-9D41-46E3-AC73-D242A3B94E1B}" name="baseLife" dataDxfId="22"/>
    <tableColumn id="6" xr3:uid="{4D68EF72-8918-4E1A-9A26-0F4D2036BB43}" name="dodgeChance" dataDxfId="21"/>
    <tableColumn id="7" xr3:uid="{7F009894-F062-48E2-95B3-3FCADC08B19F}" name="doubleMineralDropChance" dataDxfId="20"/>
    <tableColumn id="8" xr3:uid="{63CE8DDF-7DCF-4311-BFF9-EF4979AA2A18}" name="doubleSquareCoinsChances" dataDxfId="19"/>
    <tableColumn id="9" xr3:uid="{411D9763-53D0-4A8D-B4BB-C5AA50978A0B}" name="dragonSkin" dataDxfId="18"/>
    <tableColumn id="10" xr3:uid="{22F808CF-35F8-4ACA-8435-B402DDC2EF29}" name="dropChance" dataDxfId="17"/>
    <tableColumn id="11" xr3:uid="{2C7A1C66-6984-427F-B5F2-FA1E037AA47B}" name="fireAttackChance" dataDxfId="16"/>
    <tableColumn id="12" xr3:uid="{54466DE5-FDB9-4190-83AA-B1EF8BA3DC10}" name="iceAttackChance" dataDxfId="15"/>
    <tableColumn id="13" xr3:uid="{F8E9BA97-62CC-436E-957C-0B1940741AC7}" name="mineralChance" dataDxfId="14"/>
    <tableColumn id="14" xr3:uid="{4A2D2A84-EFF8-4CE9-8D2E-28AF1AED5A46}" name="negativeEffectReducer" dataDxfId="13"/>
    <tableColumn id="15" xr3:uid="{85599C87-5B32-4FE0-B460-BAC629B71048}" name="poisonAttackChance" dataDxfId="12"/>
    <tableColumn id="16" xr3:uid="{685A96CF-4347-4C0C-8617-815590DA5F41}" name="regenRate" dataDxfId="11"/>
    <tableColumn id="17" xr3:uid="{5810B272-6B49-41FD-9EF3-7DBFCAE411C7}" name="vampire" dataDxfId="10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559FCD-4AE4-4DD1-8304-3148AEF665CB}" name="Tableau6" displayName="Tableau6" ref="A1:C13" totalsRowShown="0">
  <autoFilter ref="A1:C13" xr:uid="{61559FCD-4AE4-4DD1-8304-3148AEF665CB}"/>
  <tableColumns count="3">
    <tableColumn id="1" xr3:uid="{F6297DEF-6277-40CE-BC76-A5215C0B02EC}" name="CatName" dataDxfId="9"/>
    <tableColumn id="2" xr3:uid="{9ED09BD1-EB1E-442F-BAF2-2FB27EFE0297}" name="baseDef"/>
    <tableColumn id="3" xr3:uid="{4F391E2D-56A8-4960-A526-E58EA0A7F632}" name="baseLife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83516B-FB2A-4BE8-8C56-02630DDE5446}" name="Tableau7" displayName="Tableau7" ref="E1:P13" totalsRowShown="0">
  <autoFilter ref="E1:P13" xr:uid="{EB83516B-FB2A-4BE8-8C56-02630DDE5446}"/>
  <tableColumns count="12">
    <tableColumn id="1" xr3:uid="{39BC1DA1-EE26-479E-AB3D-9DC289E87DB8}" name="Boots"/>
    <tableColumn id="2" xr3:uid="{16CB6D6E-64B2-4037-BD7B-31C512D637C5}" name="baseDef" dataDxfId="8">
      <calculatedColumnFormula>ROUND(Tableau6[[#This Row],[baseDef]]*0.5,0)</calculatedColumnFormula>
    </tableColumn>
    <tableColumn id="3" xr3:uid="{8260CA13-844D-43CE-99DC-14B61079A959}" name="baseLife" dataDxfId="7">
      <calculatedColumnFormula>MROUND(ROUND(Tableau6[[#This Row],[baseLife]]*0.5,0),4)</calculatedColumnFormula>
    </tableColumn>
    <tableColumn id="4" xr3:uid="{E8C81BA3-BECE-4658-B5E1-8F64EE0E5DA8}" name="Leggings"/>
    <tableColumn id="5" xr3:uid="{BD117112-299A-4796-B15E-C1FC9786E0CB}" name="baseDef2" dataDxfId="6">
      <calculatedColumnFormula>ROUND(Tableau6[[#This Row],[baseDef]]*1,0)</calculatedColumnFormula>
    </tableColumn>
    <tableColumn id="6" xr3:uid="{780FD0FA-BD0F-4B48-A29F-78EEBB5AE355}" name="baseLife3" dataDxfId="5">
      <calculatedColumnFormula>MROUND(ROUND(Tableau6[[#This Row],[baseLife]],0),4)</calculatedColumnFormula>
    </tableColumn>
    <tableColumn id="7" xr3:uid="{E9F49199-1DE1-4592-AC10-DD7189BFFF09}" name="Chestplate"/>
    <tableColumn id="8" xr3:uid="{A23EBB4F-E36B-4899-AC4D-60FCA99664D9}" name="baseDef4" dataDxfId="4">
      <calculatedColumnFormula>ROUND(Tableau6[[#This Row],[baseDef]]*1.5,0)</calculatedColumnFormula>
    </tableColumn>
    <tableColumn id="9" xr3:uid="{A81B6885-3F16-4ACA-AECA-4B441B37CCA6}" name="baseLife5" dataDxfId="3">
      <calculatedColumnFormula>MROUND(ROUND(Tableau6[[#This Row],[baseLife]]*1.5,0),4)</calculatedColumnFormula>
    </tableColumn>
    <tableColumn id="10" xr3:uid="{A5133EE8-2618-47FA-B53D-EE1241930275}" name="Helmet" dataDxfId="2">
      <calculatedColumnFormula>Tableau6[[#This Row],[baseDef]]*0.75</calculatedColumnFormula>
    </tableColumn>
    <tableColumn id="11" xr3:uid="{3B1EA542-56BF-4C8C-AEB2-DD5975DDF21D}" name="baseDef6" dataDxfId="1">
      <calculatedColumnFormula>ROUND(Tableau6[[#This Row],[baseDef]]*0.75,0)</calculatedColumnFormula>
    </tableColumn>
    <tableColumn id="12" xr3:uid="{87CBB2E7-86F3-47A6-A5B9-493BD824CEE7}" name="baseLife7" dataDxfId="0">
      <calculatedColumnFormula>MROUND(ROUND(Tableau6[[#This Row],[baseLife]]*0.75,0),4)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B21" sqref="B21"/>
    </sheetView>
  </sheetViews>
  <sheetFormatPr baseColWidth="10" defaultColWidth="8.88671875" defaultRowHeight="14.4" x14ac:dyDescent="0.3"/>
  <cols>
    <col min="1" max="1" width="5.88671875" customWidth="1"/>
    <col min="2" max="2" width="20" bestFit="1" customWidth="1"/>
    <col min="3" max="3" width="13.6640625" customWidth="1"/>
    <col min="4" max="4" width="15.88671875" customWidth="1"/>
    <col min="5" max="5" width="16.5546875" customWidth="1"/>
    <col min="6" max="6" width="21.33203125" customWidth="1"/>
    <col min="7" max="7" width="26.21875" customWidth="1"/>
    <col min="8" max="8" width="13.109375" customWidth="1"/>
    <col min="9" max="9" width="17.33203125" customWidth="1"/>
    <col min="10" max="10" width="16.88671875" customWidth="1"/>
    <col min="11" max="11" width="20.21875" customWidth="1"/>
    <col min="12" max="12" width="9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 x14ac:dyDescent="0.3">
      <c r="A3" t="s">
        <v>12</v>
      </c>
      <c r="B3" t="s">
        <v>14</v>
      </c>
      <c r="C3" s="1">
        <v>1</v>
      </c>
      <c r="D3" s="1">
        <v>0</v>
      </c>
      <c r="E3" s="1">
        <v>0</v>
      </c>
      <c r="F3" s="1">
        <v>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3">
      <c r="A4" t="s">
        <v>28</v>
      </c>
      <c r="B4" t="s">
        <v>39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 x14ac:dyDescent="0.3">
      <c r="A5" t="s">
        <v>12</v>
      </c>
      <c r="B5" t="s">
        <v>15</v>
      </c>
      <c r="C5" s="1">
        <v>3</v>
      </c>
      <c r="D5" s="1" t="s">
        <v>16</v>
      </c>
      <c r="E5" s="1" t="s">
        <v>17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3">
      <c r="A6" t="s">
        <v>12</v>
      </c>
      <c r="B6" t="s">
        <v>18</v>
      </c>
      <c r="C6" s="1">
        <v>3</v>
      </c>
      <c r="D6" s="1" t="s">
        <v>17</v>
      </c>
      <c r="E6" s="1" t="s">
        <v>19</v>
      </c>
      <c r="F6" s="1">
        <v>0</v>
      </c>
      <c r="G6" s="1">
        <v>0</v>
      </c>
      <c r="H6" s="1" t="s">
        <v>16</v>
      </c>
      <c r="I6" s="1">
        <v>0</v>
      </c>
      <c r="J6" s="1">
        <v>0</v>
      </c>
      <c r="K6" s="1">
        <v>0</v>
      </c>
      <c r="L6" s="1">
        <v>0</v>
      </c>
    </row>
    <row r="7" spans="1:12" x14ac:dyDescent="0.3">
      <c r="A7" t="s">
        <v>12</v>
      </c>
      <c r="B7" t="s">
        <v>20</v>
      </c>
      <c r="C7" s="1">
        <v>3</v>
      </c>
      <c r="D7" s="1" t="s">
        <v>19</v>
      </c>
      <c r="E7" s="1" t="s">
        <v>21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 t="s">
        <v>16</v>
      </c>
      <c r="L7" s="1">
        <v>0</v>
      </c>
    </row>
    <row r="8" spans="1:12" x14ac:dyDescent="0.3">
      <c r="A8" t="s">
        <v>28</v>
      </c>
      <c r="B8" t="s">
        <v>37</v>
      </c>
      <c r="C8" s="1">
        <v>3</v>
      </c>
      <c r="D8" s="1" t="s">
        <v>25</v>
      </c>
      <c r="E8" s="1" t="s">
        <v>27</v>
      </c>
      <c r="F8" s="1">
        <v>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3">
      <c r="A9" t="s">
        <v>12</v>
      </c>
      <c r="B9" t="s">
        <v>22</v>
      </c>
      <c r="C9" s="1">
        <v>4</v>
      </c>
      <c r="D9" s="1" t="s">
        <v>17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3">
      <c r="A10" t="s">
        <v>12</v>
      </c>
      <c r="B10" t="s">
        <v>23</v>
      </c>
      <c r="C10" s="1">
        <v>4</v>
      </c>
      <c r="D10" s="1" t="s">
        <v>24</v>
      </c>
      <c r="E10" s="1" t="s">
        <v>25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3">
      <c r="A11" t="s">
        <v>28</v>
      </c>
      <c r="B11" t="s">
        <v>34</v>
      </c>
      <c r="C11" s="1">
        <v>4</v>
      </c>
      <c r="D11" s="1" t="s">
        <v>35</v>
      </c>
      <c r="E11" s="1">
        <v>2</v>
      </c>
      <c r="F11" s="1">
        <v>0</v>
      </c>
      <c r="G11" s="1" t="s">
        <v>17</v>
      </c>
      <c r="H11" s="1" t="s">
        <v>17</v>
      </c>
      <c r="I11" s="1" t="s">
        <v>36</v>
      </c>
      <c r="J11" s="1" t="s">
        <v>36</v>
      </c>
      <c r="K11" s="1" t="s">
        <v>36</v>
      </c>
      <c r="L11" s="1">
        <v>0</v>
      </c>
    </row>
    <row r="12" spans="1:12" x14ac:dyDescent="0.3">
      <c r="A12" t="s">
        <v>28</v>
      </c>
      <c r="B12" t="s">
        <v>40</v>
      </c>
      <c r="C12" s="1">
        <v>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3">
      <c r="A13" t="s">
        <v>28</v>
      </c>
      <c r="B13" t="s">
        <v>32</v>
      </c>
      <c r="C13" s="1">
        <v>5</v>
      </c>
      <c r="D13" s="1" t="s">
        <v>17</v>
      </c>
      <c r="E13" s="1" t="s">
        <v>19</v>
      </c>
      <c r="F13" s="1">
        <v>0</v>
      </c>
      <c r="G13" s="1" t="s">
        <v>25</v>
      </c>
      <c r="H13" s="1">
        <v>0</v>
      </c>
      <c r="I13" s="1">
        <v>0</v>
      </c>
      <c r="J13" s="1">
        <v>0</v>
      </c>
      <c r="K13" s="1">
        <v>0</v>
      </c>
      <c r="L13" s="1" t="s">
        <v>27</v>
      </c>
    </row>
    <row r="14" spans="1:12" x14ac:dyDescent="0.3">
      <c r="A14" t="s">
        <v>28</v>
      </c>
      <c r="B14" t="s">
        <v>38</v>
      </c>
      <c r="C14" s="1">
        <v>5</v>
      </c>
      <c r="D14" s="1" t="s">
        <v>27</v>
      </c>
      <c r="E14" s="1" t="s">
        <v>19</v>
      </c>
      <c r="F14" s="1">
        <v>-1</v>
      </c>
      <c r="G14" s="1">
        <v>0</v>
      </c>
      <c r="H14" s="1" t="s">
        <v>17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3">
      <c r="A15" t="s">
        <v>12</v>
      </c>
      <c r="B15" t="s">
        <v>26</v>
      </c>
      <c r="C15" s="1">
        <v>6</v>
      </c>
      <c r="D15" s="1" t="s">
        <v>27</v>
      </c>
      <c r="E15" s="1" t="s">
        <v>27</v>
      </c>
      <c r="F15" s="1">
        <v>0</v>
      </c>
      <c r="G15" s="1">
        <v>0</v>
      </c>
      <c r="H15" s="1">
        <v>0</v>
      </c>
      <c r="I15" s="1">
        <v>0</v>
      </c>
      <c r="J15" s="1" t="s">
        <v>16</v>
      </c>
      <c r="K15" s="1">
        <v>0</v>
      </c>
      <c r="L15" s="1">
        <v>0</v>
      </c>
    </row>
    <row r="16" spans="1:12" x14ac:dyDescent="0.3">
      <c r="A16" t="s">
        <v>28</v>
      </c>
      <c r="B16" t="s">
        <v>41</v>
      </c>
      <c r="C16" s="1">
        <v>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3">
      <c r="A17" t="s">
        <v>28</v>
      </c>
      <c r="B17" t="s">
        <v>33</v>
      </c>
      <c r="C17" s="1">
        <v>8</v>
      </c>
      <c r="D17" s="1" t="s">
        <v>21</v>
      </c>
      <c r="E17" s="1" t="s">
        <v>21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 t="s">
        <v>27</v>
      </c>
      <c r="L17" s="1">
        <v>0</v>
      </c>
    </row>
    <row r="18" spans="1:12" x14ac:dyDescent="0.3">
      <c r="A18" t="s">
        <v>28</v>
      </c>
      <c r="B18" t="s">
        <v>42</v>
      </c>
      <c r="C18" s="1">
        <v>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3">
      <c r="A19" t="s">
        <v>28</v>
      </c>
      <c r="B19" t="s">
        <v>29</v>
      </c>
      <c r="C19" s="1">
        <v>12</v>
      </c>
      <c r="D19" s="1" t="s">
        <v>19</v>
      </c>
      <c r="E19" s="1" t="s">
        <v>30</v>
      </c>
      <c r="F19" s="1">
        <v>5</v>
      </c>
      <c r="G19" s="1">
        <v>0</v>
      </c>
      <c r="H19" s="1">
        <v>0</v>
      </c>
      <c r="I19" s="1">
        <v>0</v>
      </c>
      <c r="J19" s="1" t="s">
        <v>31</v>
      </c>
      <c r="K19" s="1">
        <v>0</v>
      </c>
      <c r="L19" s="1">
        <v>0</v>
      </c>
    </row>
    <row r="20" spans="1:12" x14ac:dyDescent="0.3">
      <c r="A20" t="s">
        <v>28</v>
      </c>
      <c r="B20" t="s">
        <v>43</v>
      </c>
      <c r="C20" s="1">
        <v>12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3">
      <c r="A21" t="s">
        <v>12</v>
      </c>
      <c r="B21" t="s">
        <v>46</v>
      </c>
      <c r="C21" s="1">
        <v>25</v>
      </c>
      <c r="D21" s="1">
        <v>0</v>
      </c>
      <c r="E21" s="1">
        <v>0</v>
      </c>
      <c r="F21" s="1">
        <v>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3">
      <c r="A22" t="s">
        <v>28</v>
      </c>
      <c r="B22" t="s">
        <v>44</v>
      </c>
      <c r="C22" s="1">
        <v>30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3">
      <c r="A23" t="s">
        <v>12</v>
      </c>
      <c r="B23" t="s">
        <v>47</v>
      </c>
      <c r="C23" s="1">
        <v>50</v>
      </c>
      <c r="D23" s="1" t="s">
        <v>19</v>
      </c>
      <c r="E23" s="1" t="s">
        <v>19</v>
      </c>
      <c r="F23" s="1">
        <v>0</v>
      </c>
      <c r="G23" s="1" t="s">
        <v>19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3">
      <c r="A24" t="s">
        <v>28</v>
      </c>
      <c r="B24" t="s">
        <v>45</v>
      </c>
      <c r="C24" s="1">
        <v>60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tabSelected="1" workbookViewId="0">
      <selection activeCell="H15" sqref="H15"/>
    </sheetView>
  </sheetViews>
  <sheetFormatPr baseColWidth="10" defaultColWidth="8.88671875" defaultRowHeight="14.4" x14ac:dyDescent="0.3"/>
  <cols>
    <col min="2" max="2" width="14.5546875" bestFit="1" customWidth="1"/>
    <col min="3" max="3" width="13.5546875" customWidth="1"/>
    <col min="4" max="4" width="9.77734375" customWidth="1"/>
    <col min="5" max="5" width="12" customWidth="1"/>
    <col min="6" max="6" width="14.44140625" customWidth="1"/>
    <col min="7" max="7" width="25.5546875" customWidth="1"/>
    <col min="8" max="8" width="12.44140625" customWidth="1"/>
    <col min="9" max="9" width="15.44140625" customWidth="1"/>
    <col min="10" max="10" width="21.88671875" customWidth="1"/>
    <col min="11" max="11" width="11.44140625" customWidth="1"/>
  </cols>
  <sheetData>
    <row r="1" spans="1:12" x14ac:dyDescent="0.3">
      <c r="A1" t="s">
        <v>0</v>
      </c>
      <c r="B1" t="s">
        <v>1</v>
      </c>
      <c r="C1" t="s">
        <v>48</v>
      </c>
      <c r="D1" t="s">
        <v>49</v>
      </c>
      <c r="E1" t="s">
        <v>91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149</v>
      </c>
    </row>
    <row r="2" spans="1:12" x14ac:dyDescent="0.3">
      <c r="A2" t="s">
        <v>12</v>
      </c>
      <c r="B2" t="s">
        <v>107</v>
      </c>
      <c r="C2" s="1">
        <v>-1</v>
      </c>
      <c r="D2" s="1">
        <v>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/>
    </row>
    <row r="3" spans="1:12" x14ac:dyDescent="0.3">
      <c r="A3" t="s">
        <v>12</v>
      </c>
      <c r="B3" t="s">
        <v>110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/>
    </row>
    <row r="4" spans="1:12" x14ac:dyDescent="0.3">
      <c r="A4" t="s">
        <v>12</v>
      </c>
      <c r="B4" t="s">
        <v>111</v>
      </c>
      <c r="C4" s="1">
        <v>1</v>
      </c>
      <c r="D4" s="1">
        <v>4</v>
      </c>
      <c r="E4" s="1" t="s">
        <v>112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/>
    </row>
    <row r="5" spans="1:12" x14ac:dyDescent="0.3">
      <c r="A5" t="s">
        <v>12</v>
      </c>
      <c r="B5" t="s">
        <v>108</v>
      </c>
      <c r="C5" s="1">
        <v>2</v>
      </c>
      <c r="D5" s="1">
        <v>0</v>
      </c>
      <c r="E5" s="1" t="s">
        <v>109</v>
      </c>
      <c r="F5" s="1">
        <v>0</v>
      </c>
      <c r="G5" s="1">
        <v>0</v>
      </c>
      <c r="H5" s="1" t="s">
        <v>25</v>
      </c>
      <c r="I5" s="1">
        <v>0</v>
      </c>
      <c r="J5" s="1">
        <v>0</v>
      </c>
      <c r="K5" s="1">
        <v>0</v>
      </c>
      <c r="L5" s="1"/>
    </row>
    <row r="6" spans="1:12" x14ac:dyDescent="0.3">
      <c r="A6" t="s">
        <v>12</v>
      </c>
      <c r="B6" t="s">
        <v>113</v>
      </c>
      <c r="C6" s="1">
        <v>2</v>
      </c>
      <c r="D6" s="1">
        <v>4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</row>
    <row r="7" spans="1:12" x14ac:dyDescent="0.3">
      <c r="A7" t="s">
        <v>28</v>
      </c>
      <c r="B7" t="s">
        <v>123</v>
      </c>
      <c r="C7" s="1">
        <v>2</v>
      </c>
      <c r="D7" s="1">
        <v>0</v>
      </c>
      <c r="E7" s="1" t="s">
        <v>16</v>
      </c>
      <c r="F7" s="1" t="s">
        <v>148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/>
    </row>
    <row r="8" spans="1:12" x14ac:dyDescent="0.3">
      <c r="A8" t="s">
        <v>28</v>
      </c>
      <c r="B8" t="s">
        <v>119</v>
      </c>
      <c r="C8" s="1">
        <v>3</v>
      </c>
      <c r="D8" s="1">
        <v>4</v>
      </c>
      <c r="E8" s="1">
        <v>-0.15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/>
    </row>
    <row r="9" spans="1:12" x14ac:dyDescent="0.3">
      <c r="A9" t="s">
        <v>28</v>
      </c>
      <c r="B9" t="s">
        <v>121</v>
      </c>
      <c r="C9" s="1">
        <v>3</v>
      </c>
      <c r="D9" s="1">
        <v>0</v>
      </c>
      <c r="E9" s="1" t="s">
        <v>150</v>
      </c>
      <c r="F9" s="1" t="s">
        <v>27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/>
    </row>
    <row r="10" spans="1:12" x14ac:dyDescent="0.3">
      <c r="A10" t="s">
        <v>12</v>
      </c>
      <c r="B10" t="s">
        <v>114</v>
      </c>
      <c r="C10" s="1">
        <v>4</v>
      </c>
      <c r="D10" s="1">
        <v>0</v>
      </c>
      <c r="E10" s="1" t="s">
        <v>115</v>
      </c>
      <c r="F10" s="1" t="s">
        <v>30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</row>
    <row r="11" spans="1:12" x14ac:dyDescent="0.3">
      <c r="A11" t="s">
        <v>28</v>
      </c>
      <c r="B11" t="s">
        <v>120</v>
      </c>
      <c r="C11" s="1">
        <v>4</v>
      </c>
      <c r="D11" s="1">
        <v>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/>
    </row>
    <row r="12" spans="1:12" x14ac:dyDescent="0.3">
      <c r="A12" t="s">
        <v>28</v>
      </c>
      <c r="B12" t="s">
        <v>117</v>
      </c>
      <c r="C12" s="1">
        <v>5</v>
      </c>
      <c r="D12" s="1">
        <v>0</v>
      </c>
      <c r="E12" s="1">
        <v>0</v>
      </c>
      <c r="F12" s="1">
        <v>0</v>
      </c>
      <c r="G12" s="1" t="s">
        <v>16</v>
      </c>
      <c r="H12" s="1">
        <v>0</v>
      </c>
      <c r="I12" s="1">
        <v>0</v>
      </c>
      <c r="J12" s="1">
        <v>0</v>
      </c>
      <c r="K12" s="1">
        <v>0</v>
      </c>
      <c r="L12" s="1"/>
    </row>
    <row r="13" spans="1:12" x14ac:dyDescent="0.3">
      <c r="A13" t="s">
        <v>28</v>
      </c>
      <c r="B13" t="s">
        <v>116</v>
      </c>
      <c r="C13" s="1">
        <v>6</v>
      </c>
      <c r="D13" s="1">
        <v>4</v>
      </c>
      <c r="E13" s="1" t="s">
        <v>16</v>
      </c>
      <c r="F13" s="1" t="s">
        <v>16</v>
      </c>
      <c r="G13" s="1">
        <v>0</v>
      </c>
      <c r="H13" s="1" t="s">
        <v>21</v>
      </c>
      <c r="I13" s="1">
        <v>0</v>
      </c>
      <c r="J13" s="1">
        <v>0</v>
      </c>
      <c r="K13" s="1">
        <v>0</v>
      </c>
      <c r="L13" s="1"/>
    </row>
    <row r="14" spans="1:12" x14ac:dyDescent="0.3">
      <c r="A14" t="s">
        <v>28</v>
      </c>
      <c r="B14" t="s">
        <v>122</v>
      </c>
      <c r="C14" s="1">
        <v>6</v>
      </c>
      <c r="D14" s="1">
        <v>0</v>
      </c>
      <c r="E14" s="1">
        <v>0</v>
      </c>
      <c r="F14" s="1">
        <v>0</v>
      </c>
      <c r="G14" s="1">
        <v>0</v>
      </c>
      <c r="H14" s="1" t="s">
        <v>27</v>
      </c>
      <c r="I14" s="1">
        <v>0</v>
      </c>
      <c r="J14" s="1">
        <v>0</v>
      </c>
      <c r="K14" s="1">
        <v>0</v>
      </c>
      <c r="L14" s="1"/>
    </row>
    <row r="15" spans="1:12" x14ac:dyDescent="0.3">
      <c r="A15" t="s">
        <v>28</v>
      </c>
      <c r="B15" t="s">
        <v>118</v>
      </c>
      <c r="C15" s="1">
        <v>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/>
    </row>
    <row r="16" spans="1:12" x14ac:dyDescent="0.3">
      <c r="A16" t="s">
        <v>28</v>
      </c>
      <c r="B16" t="s">
        <v>124</v>
      </c>
      <c r="C16" s="1">
        <v>9</v>
      </c>
      <c r="D16" s="1">
        <v>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4</v>
      </c>
      <c r="L16" s="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"/>
  <sheetViews>
    <sheetView zoomScale="85" zoomScaleNormal="85" workbookViewId="0">
      <selection activeCell="C2" sqref="C2"/>
    </sheetView>
  </sheetViews>
  <sheetFormatPr baseColWidth="10" defaultColWidth="8.88671875" defaultRowHeight="14.4" x14ac:dyDescent="0.3"/>
  <cols>
    <col min="2" max="2" width="23.5546875" bestFit="1" customWidth="1"/>
    <col min="3" max="3" width="13.5546875" customWidth="1"/>
    <col min="4" max="4" width="9.77734375" customWidth="1"/>
    <col min="5" max="5" width="12" customWidth="1"/>
    <col min="6" max="6" width="21.33203125" customWidth="1"/>
    <col min="7" max="7" width="24.77734375" customWidth="1"/>
    <col min="8" max="8" width="14.44140625" customWidth="1"/>
    <col min="9" max="9" width="25.5546875" customWidth="1"/>
    <col min="10" max="10" width="12.44140625" customWidth="1"/>
    <col min="11" max="11" width="15.44140625" customWidth="1"/>
    <col min="12" max="12" width="21.88671875" customWidth="1"/>
    <col min="13" max="13" width="11.44140625" customWidth="1"/>
  </cols>
  <sheetData>
    <row r="1" spans="1:13" x14ac:dyDescent="0.3">
      <c r="A1" t="s">
        <v>0</v>
      </c>
      <c r="B1" t="s">
        <v>1</v>
      </c>
      <c r="C1" t="s">
        <v>48</v>
      </c>
      <c r="D1" t="s">
        <v>49</v>
      </c>
      <c r="E1" t="s">
        <v>91</v>
      </c>
      <c r="F1" t="s">
        <v>5</v>
      </c>
      <c r="G1" t="s">
        <v>73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 x14ac:dyDescent="0.3">
      <c r="A2" t="s">
        <v>28</v>
      </c>
      <c r="B2" t="s">
        <v>103</v>
      </c>
      <c r="C2" s="1">
        <v>-5</v>
      </c>
      <c r="D2" s="1">
        <v>24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16</v>
      </c>
    </row>
    <row r="3" spans="1:13" x14ac:dyDescent="0.3">
      <c r="A3" t="s">
        <v>12</v>
      </c>
      <c r="B3" t="s">
        <v>92</v>
      </c>
      <c r="C3" s="1">
        <v>-1</v>
      </c>
      <c r="D3" s="1">
        <v>8</v>
      </c>
      <c r="E3" s="1">
        <v>0</v>
      </c>
      <c r="F3" s="1">
        <v>0</v>
      </c>
      <c r="G3" s="1">
        <v>-1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</v>
      </c>
    </row>
    <row r="4" spans="1:13" x14ac:dyDescent="0.3">
      <c r="A4" t="s">
        <v>12</v>
      </c>
      <c r="B4" t="s">
        <v>93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3">
      <c r="A5" t="s">
        <v>12</v>
      </c>
      <c r="B5" t="s">
        <v>95</v>
      </c>
      <c r="C5" s="1">
        <v>2</v>
      </c>
      <c r="D5" s="1">
        <v>4</v>
      </c>
      <c r="E5" s="1">
        <v>0</v>
      </c>
      <c r="F5" s="1">
        <v>0</v>
      </c>
      <c r="G5" s="1">
        <v>-4</v>
      </c>
      <c r="H5" s="1">
        <v>0</v>
      </c>
      <c r="I5" s="1">
        <v>0</v>
      </c>
      <c r="J5" s="1" t="s">
        <v>36</v>
      </c>
      <c r="K5" s="1">
        <v>0</v>
      </c>
      <c r="L5" s="1">
        <v>0</v>
      </c>
      <c r="M5" s="1">
        <v>0</v>
      </c>
    </row>
    <row r="6" spans="1:13" x14ac:dyDescent="0.3">
      <c r="A6" t="s">
        <v>12</v>
      </c>
      <c r="B6" t="s">
        <v>94</v>
      </c>
      <c r="C6" s="1">
        <v>3</v>
      </c>
      <c r="D6" s="1">
        <v>0</v>
      </c>
      <c r="E6" s="1">
        <v>-0.05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t="s">
        <v>12</v>
      </c>
      <c r="B7" t="s">
        <v>97</v>
      </c>
      <c r="C7" s="1">
        <v>3</v>
      </c>
      <c r="D7" s="1">
        <v>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t="s">
        <v>28</v>
      </c>
      <c r="B8" t="s">
        <v>101</v>
      </c>
      <c r="C8" s="1">
        <v>5</v>
      </c>
      <c r="D8" s="1">
        <v>8</v>
      </c>
      <c r="E8" s="1">
        <v>-0.1</v>
      </c>
      <c r="F8" s="1">
        <v>0</v>
      </c>
      <c r="G8" s="1">
        <v>-2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t="s">
        <v>28</v>
      </c>
      <c r="B9" t="s">
        <v>104</v>
      </c>
      <c r="C9" s="1">
        <v>5</v>
      </c>
      <c r="D9" s="1">
        <v>0</v>
      </c>
      <c r="E9" s="1">
        <v>0.2</v>
      </c>
      <c r="F9" s="1">
        <v>0</v>
      </c>
      <c r="G9" s="1">
        <v>0</v>
      </c>
      <c r="H9" s="1" t="s">
        <v>25</v>
      </c>
      <c r="I9" s="1">
        <v>0</v>
      </c>
      <c r="J9" s="1">
        <v>-0.5</v>
      </c>
      <c r="K9" s="1">
        <v>0</v>
      </c>
      <c r="L9" s="1">
        <v>0</v>
      </c>
      <c r="M9" s="1">
        <v>0</v>
      </c>
    </row>
    <row r="10" spans="1:13" x14ac:dyDescent="0.3">
      <c r="A10" t="s">
        <v>12</v>
      </c>
      <c r="B10" t="s">
        <v>96</v>
      </c>
      <c r="C10" s="1">
        <v>8</v>
      </c>
      <c r="D10" s="1">
        <v>0</v>
      </c>
      <c r="E10" s="1">
        <v>-0.1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t="s">
        <v>28</v>
      </c>
      <c r="B11" t="s">
        <v>102</v>
      </c>
      <c r="C11" s="1">
        <v>8</v>
      </c>
      <c r="D11" s="1">
        <v>12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t="s">
        <v>28</v>
      </c>
      <c r="B12" t="s">
        <v>99</v>
      </c>
      <c r="C12" s="1">
        <v>10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t="s">
        <v>28</v>
      </c>
      <c r="B13" t="s">
        <v>98</v>
      </c>
      <c r="C13" s="1">
        <v>12</v>
      </c>
      <c r="D13" s="1">
        <v>4</v>
      </c>
      <c r="E13" s="1">
        <v>0.05</v>
      </c>
      <c r="F13" s="1">
        <v>0</v>
      </c>
      <c r="G13" s="1">
        <v>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3">
      <c r="A14" t="s">
        <v>28</v>
      </c>
      <c r="B14" t="s">
        <v>100</v>
      </c>
      <c r="C14" s="1">
        <v>15</v>
      </c>
      <c r="D14" s="1">
        <v>0</v>
      </c>
      <c r="E14" s="1">
        <v>0</v>
      </c>
      <c r="F14" s="1">
        <v>0</v>
      </c>
      <c r="G14" s="1">
        <v>4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t="s">
        <v>28</v>
      </c>
      <c r="B15" t="s">
        <v>106</v>
      </c>
      <c r="C15" s="1">
        <v>18</v>
      </c>
      <c r="D15" s="1">
        <v>16</v>
      </c>
      <c r="E15" s="1">
        <v>0.15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 t="s">
        <v>19</v>
      </c>
      <c r="M15" s="1">
        <v>4</v>
      </c>
    </row>
    <row r="16" spans="1:13" x14ac:dyDescent="0.3">
      <c r="A16" t="s">
        <v>28</v>
      </c>
      <c r="B16" t="s">
        <v>105</v>
      </c>
      <c r="C16" s="1">
        <v>25</v>
      </c>
      <c r="D16" s="1">
        <v>-8</v>
      </c>
      <c r="E16" s="1">
        <v>-0.5</v>
      </c>
      <c r="F16" s="1">
        <v>0</v>
      </c>
      <c r="G16" s="1">
        <v>10</v>
      </c>
      <c r="H16" s="1">
        <v>-1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topLeftCell="B1" zoomScale="85" zoomScaleNormal="85" workbookViewId="0">
      <selection activeCell="D12" sqref="D12"/>
    </sheetView>
  </sheetViews>
  <sheetFormatPr baseColWidth="10" defaultColWidth="8.88671875" defaultRowHeight="14.4" x14ac:dyDescent="0.3"/>
  <cols>
    <col min="2" max="2" width="24.109375" bestFit="1" customWidth="1"/>
    <col min="3" max="3" width="13.6640625" customWidth="1"/>
    <col min="4" max="4" width="13.5546875" customWidth="1"/>
    <col min="5" max="5" width="9.77734375" customWidth="1"/>
    <col min="6" max="6" width="15.88671875" customWidth="1"/>
    <col min="7" max="7" width="16.5546875" customWidth="1"/>
    <col min="8" max="8" width="21.33203125" customWidth="1"/>
    <col min="9" max="9" width="24.77734375" customWidth="1"/>
    <col min="10" max="10" width="14.44140625" customWidth="1"/>
    <col min="11" max="11" width="25.5546875" customWidth="1"/>
    <col min="12" max="12" width="12.44140625" customWidth="1"/>
    <col min="13" max="13" width="15.44140625" customWidth="1"/>
    <col min="14" max="14" width="21.88671875" customWidth="1"/>
    <col min="15" max="15" width="11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48</v>
      </c>
      <c r="E1" t="s">
        <v>49</v>
      </c>
      <c r="F1" t="s">
        <v>3</v>
      </c>
      <c r="G1" t="s">
        <v>4</v>
      </c>
      <c r="H1" t="s">
        <v>5</v>
      </c>
      <c r="I1" t="s">
        <v>73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</row>
    <row r="2" spans="1:15" x14ac:dyDescent="0.3">
      <c r="A2" t="s">
        <v>28</v>
      </c>
      <c r="B2" t="s">
        <v>89</v>
      </c>
      <c r="C2" s="1">
        <v>0</v>
      </c>
      <c r="D2" s="1">
        <v>-5</v>
      </c>
      <c r="E2" s="1">
        <v>8</v>
      </c>
      <c r="F2" s="1" t="s">
        <v>17</v>
      </c>
      <c r="G2" s="1">
        <v>1</v>
      </c>
      <c r="H2" s="1">
        <v>0</v>
      </c>
      <c r="I2" s="1">
        <v>-2</v>
      </c>
      <c r="J2" s="1">
        <v>0</v>
      </c>
      <c r="K2" s="1">
        <v>0</v>
      </c>
      <c r="L2" s="1">
        <v>-0.2</v>
      </c>
      <c r="M2" s="1">
        <v>0</v>
      </c>
      <c r="N2" s="1" t="s">
        <v>19</v>
      </c>
      <c r="O2" s="1">
        <v>8</v>
      </c>
    </row>
    <row r="3" spans="1:15" x14ac:dyDescent="0.3">
      <c r="A3" t="s">
        <v>12</v>
      </c>
      <c r="B3" t="s">
        <v>74</v>
      </c>
      <c r="C3" s="1">
        <v>0</v>
      </c>
      <c r="D3" s="1">
        <v>-2</v>
      </c>
      <c r="E3" s="1">
        <v>12</v>
      </c>
      <c r="F3" s="1">
        <v>0</v>
      </c>
      <c r="G3" s="1">
        <v>0</v>
      </c>
      <c r="H3" s="1">
        <v>0</v>
      </c>
      <c r="I3" s="1">
        <v>-2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4</v>
      </c>
    </row>
    <row r="4" spans="1:15" x14ac:dyDescent="0.3">
      <c r="A4" t="s">
        <v>28</v>
      </c>
      <c r="B4" t="s">
        <v>86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 t="s">
        <v>19</v>
      </c>
      <c r="M4" s="1">
        <v>0</v>
      </c>
      <c r="N4" s="1">
        <v>0</v>
      </c>
      <c r="O4" s="1">
        <v>0</v>
      </c>
    </row>
    <row r="5" spans="1:15" x14ac:dyDescent="0.3">
      <c r="A5" t="s">
        <v>28</v>
      </c>
      <c r="B5" t="s">
        <v>87</v>
      </c>
      <c r="C5" s="1">
        <v>15</v>
      </c>
      <c r="D5" s="1">
        <v>0</v>
      </c>
      <c r="E5" s="1">
        <v>0</v>
      </c>
      <c r="F5" s="1" t="s">
        <v>17</v>
      </c>
      <c r="G5" s="1" t="s">
        <v>17</v>
      </c>
      <c r="H5" s="1">
        <v>5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3">
      <c r="A6" t="s">
        <v>12</v>
      </c>
      <c r="B6" t="s">
        <v>75</v>
      </c>
      <c r="C6" s="1">
        <v>0</v>
      </c>
      <c r="D6" s="1">
        <v>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 x14ac:dyDescent="0.3">
      <c r="A7" t="s">
        <v>12</v>
      </c>
      <c r="B7" t="s">
        <v>76</v>
      </c>
      <c r="C7" s="1">
        <v>0</v>
      </c>
      <c r="D7" s="1">
        <v>3</v>
      </c>
      <c r="E7" s="1">
        <v>8</v>
      </c>
      <c r="F7" s="1">
        <v>0</v>
      </c>
      <c r="G7" s="1">
        <v>0</v>
      </c>
      <c r="H7" s="1">
        <v>0</v>
      </c>
      <c r="I7" s="1">
        <v>-5</v>
      </c>
      <c r="J7" s="1">
        <v>0</v>
      </c>
      <c r="K7" s="1">
        <v>0</v>
      </c>
      <c r="L7" s="1" t="s">
        <v>36</v>
      </c>
      <c r="M7" s="1">
        <v>0</v>
      </c>
      <c r="N7" s="1">
        <v>0</v>
      </c>
      <c r="O7" s="1">
        <v>0</v>
      </c>
    </row>
    <row r="8" spans="1:15" x14ac:dyDescent="0.3">
      <c r="A8" t="s">
        <v>12</v>
      </c>
      <c r="B8" t="s">
        <v>77</v>
      </c>
      <c r="C8" s="1">
        <v>0</v>
      </c>
      <c r="D8" s="1">
        <v>5</v>
      </c>
      <c r="E8" s="1">
        <v>0</v>
      </c>
      <c r="F8" s="1" t="s">
        <v>36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3">
      <c r="A9" t="s">
        <v>12</v>
      </c>
      <c r="B9" t="s">
        <v>78</v>
      </c>
      <c r="C9" s="1">
        <v>0</v>
      </c>
      <c r="D9" s="1">
        <v>5</v>
      </c>
      <c r="E9" s="1">
        <v>8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3">
      <c r="A10" t="s">
        <v>28</v>
      </c>
      <c r="B10" t="s">
        <v>84</v>
      </c>
      <c r="C10" s="1">
        <v>0</v>
      </c>
      <c r="D10" s="1">
        <v>8</v>
      </c>
      <c r="E10" s="1">
        <v>12</v>
      </c>
      <c r="F10" s="1">
        <v>0</v>
      </c>
      <c r="G10" s="1">
        <v>0</v>
      </c>
      <c r="H10" s="1">
        <v>0</v>
      </c>
      <c r="I10" s="1">
        <v>-3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3">
      <c r="A11" t="s">
        <v>28</v>
      </c>
      <c r="B11" t="s">
        <v>85</v>
      </c>
      <c r="C11" s="1">
        <v>0</v>
      </c>
      <c r="D11" s="1">
        <v>12</v>
      </c>
      <c r="E11" s="1">
        <v>20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3">
      <c r="A12" t="s">
        <v>28</v>
      </c>
      <c r="B12" t="s">
        <v>88</v>
      </c>
      <c r="C12" s="1">
        <v>0</v>
      </c>
      <c r="D12" s="1">
        <v>12</v>
      </c>
      <c r="E12" s="1">
        <v>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 t="s">
        <v>17</v>
      </c>
      <c r="M12" s="1">
        <v>0</v>
      </c>
      <c r="N12" s="1">
        <v>0</v>
      </c>
      <c r="O12" s="1">
        <v>0</v>
      </c>
    </row>
    <row r="13" spans="1:15" x14ac:dyDescent="0.3">
      <c r="A13" t="s">
        <v>12</v>
      </c>
      <c r="B13" t="s">
        <v>79</v>
      </c>
      <c r="C13" s="1">
        <v>0</v>
      </c>
      <c r="D13" s="1">
        <v>12</v>
      </c>
      <c r="E13" s="1">
        <v>0</v>
      </c>
      <c r="F13" s="1" t="s">
        <v>80</v>
      </c>
      <c r="G13" s="1" t="s">
        <v>80</v>
      </c>
      <c r="H13" s="1">
        <v>0</v>
      </c>
      <c r="I13" s="1">
        <v>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3">
      <c r="A14" t="s">
        <v>28</v>
      </c>
      <c r="B14" t="s">
        <v>82</v>
      </c>
      <c r="C14" s="1">
        <v>0</v>
      </c>
      <c r="D14" s="1">
        <v>15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 t="s">
        <v>27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3">
      <c r="A15" t="s">
        <v>28</v>
      </c>
      <c r="B15" t="s">
        <v>81</v>
      </c>
      <c r="C15" s="1">
        <v>5</v>
      </c>
      <c r="D15" s="1">
        <v>18</v>
      </c>
      <c r="E15" s="1">
        <v>8</v>
      </c>
      <c r="F15" s="1">
        <v>-0.2</v>
      </c>
      <c r="G15" s="1">
        <v>0</v>
      </c>
      <c r="H15" s="1">
        <v>0</v>
      </c>
      <c r="I15" s="1">
        <v>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3">
      <c r="A16" t="s">
        <v>28</v>
      </c>
      <c r="B16" t="s">
        <v>83</v>
      </c>
      <c r="C16" s="1">
        <v>0</v>
      </c>
      <c r="D16" s="1">
        <v>23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3">
      <c r="A17" t="s">
        <v>28</v>
      </c>
      <c r="B17" t="s">
        <v>90</v>
      </c>
      <c r="C17" s="1">
        <v>5</v>
      </c>
      <c r="D17" s="1">
        <v>28</v>
      </c>
      <c r="E17" s="1">
        <v>24</v>
      </c>
      <c r="F17" s="1" t="s">
        <v>27</v>
      </c>
      <c r="G17" s="1" t="s">
        <v>19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opLeftCell="A7" zoomScale="85" zoomScaleNormal="85" workbookViewId="0">
      <selection activeCell="G24" sqref="G24"/>
    </sheetView>
  </sheetViews>
  <sheetFormatPr baseColWidth="10" defaultColWidth="8.88671875" defaultRowHeight="14.4" x14ac:dyDescent="0.3"/>
  <cols>
    <col min="2" max="2" width="21.77734375" bestFit="1" customWidth="1"/>
    <col min="3" max="3" width="13.6640625" customWidth="1"/>
    <col min="4" max="4" width="13.5546875" customWidth="1"/>
    <col min="5" max="5" width="9.77734375" customWidth="1"/>
    <col min="6" max="6" width="14.44140625" customWidth="1"/>
    <col min="7" max="7" width="25.5546875" customWidth="1"/>
    <col min="8" max="8" width="26.21875" customWidth="1"/>
    <col min="9" max="9" width="12.44140625" customWidth="1"/>
    <col min="10" max="10" width="13.109375" customWidth="1"/>
    <col min="11" max="11" width="17.33203125" customWidth="1"/>
    <col min="12" max="12" width="16.88671875" customWidth="1"/>
    <col min="13" max="13" width="15.44140625" customWidth="1"/>
    <col min="14" max="14" width="21.88671875" customWidth="1"/>
    <col min="15" max="15" width="20.21875" customWidth="1"/>
    <col min="16" max="16" width="11.44140625" customWidth="1"/>
    <col min="17" max="17" width="9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48</v>
      </c>
      <c r="E1" t="s">
        <v>49</v>
      </c>
      <c r="F1" t="s">
        <v>50</v>
      </c>
      <c r="G1" t="s">
        <v>51</v>
      </c>
      <c r="H1" t="s">
        <v>6</v>
      </c>
      <c r="I1" t="s">
        <v>52</v>
      </c>
      <c r="J1" t="s">
        <v>7</v>
      </c>
      <c r="K1" t="s">
        <v>8</v>
      </c>
      <c r="L1" t="s">
        <v>9</v>
      </c>
      <c r="M1" t="s">
        <v>53</v>
      </c>
      <c r="N1" t="s">
        <v>54</v>
      </c>
      <c r="O1" t="s">
        <v>10</v>
      </c>
      <c r="P1" t="s">
        <v>55</v>
      </c>
      <c r="Q1" t="s">
        <v>11</v>
      </c>
    </row>
    <row r="2" spans="1:17" x14ac:dyDescent="0.3">
      <c r="A2" t="s">
        <v>12</v>
      </c>
      <c r="B2" t="s">
        <v>56</v>
      </c>
      <c r="C2" s="1">
        <v>0</v>
      </c>
      <c r="D2" s="1">
        <v>-1</v>
      </c>
      <c r="E2" s="1">
        <v>8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</row>
    <row r="3" spans="1:17" x14ac:dyDescent="0.3">
      <c r="A3" t="s">
        <v>12</v>
      </c>
      <c r="B3" t="s">
        <v>57</v>
      </c>
      <c r="C3" s="1">
        <v>0</v>
      </c>
      <c r="D3" s="1">
        <v>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 t="s">
        <v>36</v>
      </c>
      <c r="P3" s="1">
        <v>0</v>
      </c>
      <c r="Q3" s="1">
        <v>0</v>
      </c>
    </row>
    <row r="4" spans="1:17" x14ac:dyDescent="0.3">
      <c r="A4" t="s">
        <v>12</v>
      </c>
      <c r="B4" t="s">
        <v>58</v>
      </c>
      <c r="C4" s="1">
        <v>0</v>
      </c>
      <c r="D4" s="1">
        <v>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3">
      <c r="A5" t="s">
        <v>12</v>
      </c>
      <c r="B5" t="s">
        <v>59</v>
      </c>
      <c r="C5" s="1">
        <v>0</v>
      </c>
      <c r="D5" s="1">
        <v>2</v>
      </c>
      <c r="E5" s="1">
        <v>4</v>
      </c>
      <c r="F5" s="1">
        <v>0</v>
      </c>
      <c r="G5" s="1">
        <v>0</v>
      </c>
      <c r="H5" s="1">
        <v>0</v>
      </c>
      <c r="I5" s="1" t="s">
        <v>60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3">
      <c r="A6" t="s">
        <v>12</v>
      </c>
      <c r="B6" t="s">
        <v>61</v>
      </c>
      <c r="C6" s="1">
        <v>0</v>
      </c>
      <c r="D6" s="1">
        <v>2</v>
      </c>
      <c r="E6" s="1">
        <v>4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 t="s">
        <v>36</v>
      </c>
      <c r="P6" s="1">
        <v>0</v>
      </c>
      <c r="Q6" s="1">
        <v>0</v>
      </c>
    </row>
    <row r="7" spans="1:17" x14ac:dyDescent="0.3">
      <c r="A7" t="s">
        <v>28</v>
      </c>
      <c r="B7" t="s">
        <v>70</v>
      </c>
      <c r="C7" s="1">
        <v>0</v>
      </c>
      <c r="D7" s="1">
        <v>2</v>
      </c>
      <c r="E7" s="1">
        <v>0</v>
      </c>
      <c r="F7" s="1">
        <v>0</v>
      </c>
      <c r="G7" s="1">
        <v>0</v>
      </c>
      <c r="H7" s="1" t="s">
        <v>17</v>
      </c>
      <c r="I7" s="1">
        <v>0</v>
      </c>
      <c r="J7" s="1" t="s">
        <v>17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3">
      <c r="A8" t="s">
        <v>28</v>
      </c>
      <c r="B8" t="s">
        <v>67</v>
      </c>
      <c r="C8" s="1">
        <v>0</v>
      </c>
      <c r="D8" s="1">
        <v>4</v>
      </c>
      <c r="E8" s="1">
        <v>8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 t="s">
        <v>16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3">
      <c r="A9" t="s">
        <v>28</v>
      </c>
      <c r="B9" t="s">
        <v>69</v>
      </c>
      <c r="C9" s="1">
        <v>0</v>
      </c>
      <c r="D9" s="1">
        <v>5</v>
      </c>
      <c r="E9" s="1">
        <v>0</v>
      </c>
      <c r="F9" s="1">
        <v>0</v>
      </c>
      <c r="G9" s="1" t="s">
        <v>17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s">
        <v>27</v>
      </c>
      <c r="N9" s="1" t="s">
        <v>27</v>
      </c>
      <c r="O9" s="1">
        <v>0</v>
      </c>
      <c r="P9" s="1">
        <v>0</v>
      </c>
      <c r="Q9" s="1">
        <v>0</v>
      </c>
    </row>
    <row r="10" spans="1:17" x14ac:dyDescent="0.3">
      <c r="A10" t="s">
        <v>12</v>
      </c>
      <c r="B10" t="s">
        <v>62</v>
      </c>
      <c r="C10" s="1">
        <v>0</v>
      </c>
      <c r="D10" s="1">
        <v>6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3">
      <c r="A11" t="s">
        <v>12</v>
      </c>
      <c r="B11" t="s">
        <v>63</v>
      </c>
      <c r="C11" s="1">
        <v>0</v>
      </c>
      <c r="D11" s="1">
        <v>6</v>
      </c>
      <c r="E11" s="1">
        <v>8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 t="s">
        <v>17</v>
      </c>
      <c r="O11" s="1">
        <v>0</v>
      </c>
      <c r="P11" s="1">
        <v>4</v>
      </c>
      <c r="Q11" s="1">
        <v>0</v>
      </c>
    </row>
    <row r="12" spans="1:17" x14ac:dyDescent="0.3">
      <c r="A12" t="s">
        <v>28</v>
      </c>
      <c r="B12" t="s">
        <v>68</v>
      </c>
      <c r="C12" s="1">
        <v>0</v>
      </c>
      <c r="D12" s="1">
        <v>6</v>
      </c>
      <c r="E12" s="1">
        <v>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 t="s">
        <v>16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3">
      <c r="A13" t="s">
        <v>28</v>
      </c>
      <c r="B13" t="s">
        <v>65</v>
      </c>
      <c r="C13" s="1">
        <v>0</v>
      </c>
      <c r="D13" s="1">
        <v>8</v>
      </c>
      <c r="E13" s="1">
        <v>0</v>
      </c>
      <c r="F13" s="1">
        <v>0</v>
      </c>
      <c r="G13" s="1" t="s">
        <v>25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3">
      <c r="A14" t="s">
        <v>28</v>
      </c>
      <c r="B14" t="s">
        <v>71</v>
      </c>
      <c r="C14" s="1">
        <v>0</v>
      </c>
      <c r="D14" s="1">
        <v>8</v>
      </c>
      <c r="E14" s="1">
        <v>0</v>
      </c>
      <c r="F14" s="1" t="s">
        <v>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4</v>
      </c>
      <c r="Q14" s="1" t="s">
        <v>17</v>
      </c>
    </row>
    <row r="15" spans="1:17" x14ac:dyDescent="0.3">
      <c r="A15" t="s">
        <v>28</v>
      </c>
      <c r="B15" t="s">
        <v>64</v>
      </c>
      <c r="C15" s="1">
        <v>3</v>
      </c>
      <c r="D15" s="1">
        <v>9</v>
      </c>
      <c r="E15" s="1">
        <v>4</v>
      </c>
      <c r="F15" s="1">
        <v>0</v>
      </c>
      <c r="G15" s="1">
        <v>0</v>
      </c>
      <c r="H15" s="1">
        <v>0</v>
      </c>
      <c r="I15" s="1" t="s">
        <v>27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3">
      <c r="A16" t="s">
        <v>28</v>
      </c>
      <c r="B16" t="s">
        <v>66</v>
      </c>
      <c r="C16" s="1">
        <v>0</v>
      </c>
      <c r="D16" s="1">
        <v>11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3">
      <c r="A17" t="s">
        <v>28</v>
      </c>
      <c r="B17" t="s">
        <v>72</v>
      </c>
      <c r="C17" s="1">
        <v>3</v>
      </c>
      <c r="D17" s="1">
        <v>14</v>
      </c>
      <c r="E17" s="1">
        <v>12</v>
      </c>
      <c r="F17" s="1">
        <v>0</v>
      </c>
      <c r="G17" s="1">
        <v>0</v>
      </c>
      <c r="H17" s="1">
        <v>0</v>
      </c>
      <c r="I17" s="1" t="s">
        <v>25</v>
      </c>
      <c r="J17" s="1">
        <v>0</v>
      </c>
      <c r="K17" s="1">
        <v>0</v>
      </c>
      <c r="L17" s="1">
        <v>0</v>
      </c>
      <c r="M17" s="1">
        <v>0</v>
      </c>
      <c r="N17" s="1" t="s">
        <v>19</v>
      </c>
      <c r="O17" s="1">
        <v>0</v>
      </c>
      <c r="P17" s="1">
        <v>4</v>
      </c>
      <c r="Q17" s="1">
        <v>0</v>
      </c>
    </row>
    <row r="22" spans="1:17" x14ac:dyDescent="0.3">
      <c r="G22" s="5" t="s">
        <v>64</v>
      </c>
    </row>
    <row r="23" spans="1:17" x14ac:dyDescent="0.3">
      <c r="G23" s="5" t="s">
        <v>65</v>
      </c>
      <c r="H23" s="5" t="s">
        <v>69</v>
      </c>
    </row>
    <row r="24" spans="1:17" x14ac:dyDescent="0.3">
      <c r="G24" s="4" t="s">
        <v>68</v>
      </c>
      <c r="H24" s="4" t="s">
        <v>71</v>
      </c>
    </row>
    <row r="26" spans="1:17" x14ac:dyDescent="0.3">
      <c r="H26" s="5" t="s">
        <v>70</v>
      </c>
    </row>
    <row r="36" spans="2:2" x14ac:dyDescent="0.3">
      <c r="B36" s="4" t="s">
        <v>66</v>
      </c>
    </row>
    <row r="37" spans="2:2" x14ac:dyDescent="0.3">
      <c r="B37" s="5" t="s">
        <v>72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0C9D-4BFA-487F-B0DF-DFE0FF276E60}">
  <dimension ref="A1:P13"/>
  <sheetViews>
    <sheetView workbookViewId="0">
      <selection activeCell="O11" sqref="O11:P13"/>
    </sheetView>
  </sheetViews>
  <sheetFormatPr baseColWidth="10" defaultRowHeight="14.4" x14ac:dyDescent="0.3"/>
  <cols>
    <col min="11" max="11" width="11.77734375" customWidth="1"/>
  </cols>
  <sheetData>
    <row r="1" spans="1:16" x14ac:dyDescent="0.3">
      <c r="A1" t="s">
        <v>125</v>
      </c>
      <c r="B1" t="s">
        <v>137</v>
      </c>
      <c r="C1" t="s">
        <v>49</v>
      </c>
      <c r="E1" t="s">
        <v>138</v>
      </c>
      <c r="F1" t="s">
        <v>137</v>
      </c>
      <c r="G1" t="s">
        <v>49</v>
      </c>
      <c r="H1" t="s">
        <v>139</v>
      </c>
      <c r="I1" t="s">
        <v>142</v>
      </c>
      <c r="J1" t="s">
        <v>143</v>
      </c>
      <c r="K1" t="s">
        <v>140</v>
      </c>
      <c r="L1" t="s">
        <v>144</v>
      </c>
      <c r="M1" t="s">
        <v>145</v>
      </c>
      <c r="N1" t="s">
        <v>141</v>
      </c>
      <c r="O1" t="s">
        <v>146</v>
      </c>
      <c r="P1" t="s">
        <v>147</v>
      </c>
    </row>
    <row r="2" spans="1:16" x14ac:dyDescent="0.3">
      <c r="A2" s="2" t="s">
        <v>126</v>
      </c>
      <c r="B2">
        <v>-1</v>
      </c>
      <c r="C2">
        <v>8</v>
      </c>
      <c r="F2">
        <f>ROUND(Tableau6[[#This Row],[baseDef]]*0.5,0)</f>
        <v>-1</v>
      </c>
      <c r="G2">
        <f>MROUND(ROUND(Tableau6[[#This Row],[baseLife]]*0.5,0),4)</f>
        <v>4</v>
      </c>
      <c r="I2">
        <f>ROUND(Tableau6[[#This Row],[baseDef]]*1,0)</f>
        <v>-1</v>
      </c>
      <c r="J2">
        <f>MROUND(ROUND(Tableau6[[#This Row],[baseLife]],0),4)</f>
        <v>8</v>
      </c>
      <c r="L2">
        <f>ROUND(Tableau6[[#This Row],[baseDef]]*1.5,0)</f>
        <v>-2</v>
      </c>
      <c r="M2">
        <f>MROUND(ROUND(Tableau6[[#This Row],[baseLife]]*1.5,0),4)</f>
        <v>12</v>
      </c>
      <c r="O2">
        <f>ROUND(Tableau6[[#This Row],[baseDef]]*0.75,0)</f>
        <v>-1</v>
      </c>
      <c r="P2">
        <f>MROUND(ROUND(Tableau6[[#This Row],[baseLife]]*0.75,0),4)</f>
        <v>8</v>
      </c>
    </row>
    <row r="3" spans="1:16" x14ac:dyDescent="0.3">
      <c r="A3" s="3" t="s">
        <v>127</v>
      </c>
      <c r="B3">
        <v>3</v>
      </c>
      <c r="C3">
        <v>0</v>
      </c>
      <c r="F3">
        <f>ROUND(Tableau6[[#This Row],[baseDef]]*0.5,0)</f>
        <v>2</v>
      </c>
      <c r="G3">
        <f>MROUND(ROUND(Tableau6[[#This Row],[baseLife]]*0.5,0),4)</f>
        <v>0</v>
      </c>
      <c r="I3">
        <f>ROUND(Tableau6[[#This Row],[baseDef]]*1,0)</f>
        <v>3</v>
      </c>
      <c r="J3">
        <f>MROUND(ROUND(Tableau6[[#This Row],[baseLife]],0),4)</f>
        <v>0</v>
      </c>
      <c r="L3">
        <f>ROUND(Tableau6[[#This Row],[baseDef]]*1.5,0)</f>
        <v>5</v>
      </c>
      <c r="M3">
        <f>MROUND(ROUND(Tableau6[[#This Row],[baseLife]]*1.5,0),4)</f>
        <v>0</v>
      </c>
      <c r="O3">
        <f>ROUND(Tableau6[[#This Row],[baseDef]]*0.75,0)</f>
        <v>2</v>
      </c>
      <c r="P3">
        <f>MROUND(ROUND(Tableau6[[#This Row],[baseLife]]*0.75,0),4)</f>
        <v>0</v>
      </c>
    </row>
    <row r="4" spans="1:16" x14ac:dyDescent="0.3">
      <c r="A4" s="2" t="s">
        <v>128</v>
      </c>
      <c r="B4">
        <v>2</v>
      </c>
      <c r="C4">
        <v>0</v>
      </c>
      <c r="F4">
        <f>ROUND(Tableau6[[#This Row],[baseDef]]*0.5,0)</f>
        <v>1</v>
      </c>
      <c r="G4">
        <f>MROUND(ROUND(Tableau6[[#This Row],[baseLife]]*0.5,0),4)</f>
        <v>0</v>
      </c>
      <c r="I4">
        <f>ROUND(Tableau6[[#This Row],[baseDef]]*1,0)</f>
        <v>2</v>
      </c>
      <c r="J4">
        <f>MROUND(ROUND(Tableau6[[#This Row],[baseLife]],0),4)</f>
        <v>0</v>
      </c>
      <c r="L4">
        <f>ROUND(Tableau6[[#This Row],[baseDef]]*1.5,0)</f>
        <v>3</v>
      </c>
      <c r="M4">
        <f>MROUND(ROUND(Tableau6[[#This Row],[baseLife]]*1.5,0),4)</f>
        <v>0</v>
      </c>
      <c r="O4">
        <f>ROUND(Tableau6[[#This Row],[baseDef]]*0.75,0)</f>
        <v>2</v>
      </c>
      <c r="P4">
        <f>MROUND(ROUND(Tableau6[[#This Row],[baseLife]]*0.75,0),4)</f>
        <v>0</v>
      </c>
    </row>
    <row r="5" spans="1:16" x14ac:dyDescent="0.3">
      <c r="A5" s="3" t="s">
        <v>129</v>
      </c>
      <c r="B5">
        <v>2</v>
      </c>
      <c r="C5">
        <v>4</v>
      </c>
      <c r="F5">
        <f>ROUND(Tableau6[[#This Row],[baseDef]]*0.5,0)</f>
        <v>1</v>
      </c>
      <c r="G5">
        <f>MROUND(ROUND(Tableau6[[#This Row],[baseLife]]*0.5,0),4)</f>
        <v>4</v>
      </c>
      <c r="I5">
        <f>ROUND(Tableau6[[#This Row],[baseDef]]*1,0)</f>
        <v>2</v>
      </c>
      <c r="J5">
        <f>MROUND(ROUND(Tableau6[[#This Row],[baseLife]],0),4)</f>
        <v>4</v>
      </c>
      <c r="L5">
        <f>ROUND(Tableau6[[#This Row],[baseDef]]*1.5,0)</f>
        <v>3</v>
      </c>
      <c r="M5">
        <f>MROUND(ROUND(Tableau6[[#This Row],[baseLife]]*1.5,0),4)</f>
        <v>8</v>
      </c>
      <c r="O5">
        <f>ROUND(Tableau6[[#This Row],[baseDef]]*0.75,0)</f>
        <v>2</v>
      </c>
      <c r="P5">
        <f>MROUND(ROUND(Tableau6[[#This Row],[baseLife]]*0.75,0),4)</f>
        <v>4</v>
      </c>
    </row>
    <row r="6" spans="1:16" x14ac:dyDescent="0.3">
      <c r="A6" s="2" t="s">
        <v>130</v>
      </c>
      <c r="B6">
        <v>3</v>
      </c>
      <c r="C6">
        <v>4</v>
      </c>
      <c r="F6">
        <f>ROUND(Tableau6[[#This Row],[baseDef]]*0.5,0)</f>
        <v>2</v>
      </c>
      <c r="G6">
        <f>MROUND(ROUND(Tableau6[[#This Row],[baseLife]]*0.5,0),4)</f>
        <v>4</v>
      </c>
      <c r="I6">
        <f>ROUND(Tableau6[[#This Row],[baseDef]]*1,0)</f>
        <v>3</v>
      </c>
      <c r="J6">
        <f>MROUND(ROUND(Tableau6[[#This Row],[baseLife]],0),4)</f>
        <v>4</v>
      </c>
      <c r="L6">
        <f>ROUND(Tableau6[[#This Row],[baseDef]]*1.5,0)</f>
        <v>5</v>
      </c>
      <c r="M6">
        <f>MROUND(ROUND(Tableau6[[#This Row],[baseLife]]*1.5,0),4)</f>
        <v>8</v>
      </c>
      <c r="O6">
        <f>ROUND(Tableau6[[#This Row],[baseDef]]*0.75,0)</f>
        <v>2</v>
      </c>
      <c r="P6">
        <f>MROUND(ROUND(Tableau6[[#This Row],[baseLife]]*0.75,0),4)</f>
        <v>4</v>
      </c>
    </row>
    <row r="7" spans="1:16" x14ac:dyDescent="0.3">
      <c r="A7" s="3" t="s">
        <v>131</v>
      </c>
      <c r="B7">
        <v>8</v>
      </c>
      <c r="C7">
        <v>0</v>
      </c>
      <c r="F7">
        <f>ROUND(Tableau6[[#This Row],[baseDef]]*0.5,0)</f>
        <v>4</v>
      </c>
      <c r="G7">
        <f>MROUND(ROUND(Tableau6[[#This Row],[baseLife]]*0.5,0),4)</f>
        <v>0</v>
      </c>
      <c r="I7">
        <f>ROUND(Tableau6[[#This Row],[baseDef]]*1,0)</f>
        <v>8</v>
      </c>
      <c r="J7">
        <f>MROUND(ROUND(Tableau6[[#This Row],[baseLife]],0),4)</f>
        <v>0</v>
      </c>
      <c r="L7">
        <f>ROUND(Tableau6[[#This Row],[baseDef]]*1.5,0)</f>
        <v>12</v>
      </c>
      <c r="M7">
        <f>MROUND(ROUND(Tableau6[[#This Row],[baseLife]]*1.5,0),4)</f>
        <v>0</v>
      </c>
      <c r="O7">
        <f>ROUND(Tableau6[[#This Row],[baseDef]]*0.75,0)</f>
        <v>6</v>
      </c>
      <c r="P7">
        <f>MROUND(ROUND(Tableau6[[#This Row],[baseLife]]*0.75,0),4)</f>
        <v>0</v>
      </c>
    </row>
    <row r="8" spans="1:16" x14ac:dyDescent="0.3">
      <c r="A8" s="2" t="s">
        <v>132</v>
      </c>
      <c r="B8">
        <v>12</v>
      </c>
      <c r="C8">
        <v>4</v>
      </c>
      <c r="F8">
        <f>ROUND(Tableau6[[#This Row],[baseDef]]*0.5,0)</f>
        <v>6</v>
      </c>
      <c r="G8">
        <f>MROUND(ROUND(Tableau6[[#This Row],[baseLife]]*0.5,0),4)</f>
        <v>4</v>
      </c>
      <c r="I8">
        <f>ROUND(Tableau6[[#This Row],[baseDef]]*1,0)</f>
        <v>12</v>
      </c>
      <c r="J8">
        <f>MROUND(ROUND(Tableau6[[#This Row],[baseLife]],0),4)</f>
        <v>4</v>
      </c>
      <c r="L8">
        <f>ROUND(Tableau6[[#This Row],[baseDef]]*1.5,0)</f>
        <v>18</v>
      </c>
      <c r="M8">
        <f>MROUND(ROUND(Tableau6[[#This Row],[baseLife]]*1.5,0),4)</f>
        <v>8</v>
      </c>
      <c r="O8">
        <f>ROUND(Tableau6[[#This Row],[baseDef]]*0.75,0)</f>
        <v>9</v>
      </c>
      <c r="P8">
        <f>MROUND(ROUND(Tableau6[[#This Row],[baseLife]]*0.75,0),4)</f>
        <v>4</v>
      </c>
    </row>
    <row r="9" spans="1:16" x14ac:dyDescent="0.3">
      <c r="A9" s="3" t="s">
        <v>133</v>
      </c>
      <c r="B9">
        <v>10</v>
      </c>
      <c r="C9">
        <v>0</v>
      </c>
      <c r="F9">
        <f>ROUND(Tableau6[[#This Row],[baseDef]]*0.5,0)</f>
        <v>5</v>
      </c>
      <c r="G9">
        <f>MROUND(ROUND(Tableau6[[#This Row],[baseLife]]*0.5,0),4)</f>
        <v>0</v>
      </c>
      <c r="I9">
        <f>ROUND(Tableau6[[#This Row],[baseDef]]*1,0)</f>
        <v>10</v>
      </c>
      <c r="J9">
        <f>MROUND(ROUND(Tableau6[[#This Row],[baseLife]],0),4)</f>
        <v>0</v>
      </c>
      <c r="L9">
        <f>ROUND(Tableau6[[#This Row],[baseDef]]*1.5,0)</f>
        <v>15</v>
      </c>
      <c r="M9">
        <f>MROUND(ROUND(Tableau6[[#This Row],[baseLife]]*1.5,0),4)</f>
        <v>0</v>
      </c>
      <c r="O9">
        <f>ROUND(Tableau6[[#This Row],[baseDef]]*0.75,0)</f>
        <v>8</v>
      </c>
      <c r="P9">
        <f>MROUND(ROUND(Tableau6[[#This Row],[baseLife]]*0.75,0),4)</f>
        <v>0</v>
      </c>
    </row>
    <row r="10" spans="1:16" x14ac:dyDescent="0.3">
      <c r="A10" s="2" t="s">
        <v>134</v>
      </c>
      <c r="B10">
        <v>15</v>
      </c>
      <c r="C10">
        <v>0</v>
      </c>
      <c r="F10">
        <f>ROUND(Tableau6[[#This Row],[baseDef]]*0.5,0)</f>
        <v>8</v>
      </c>
      <c r="G10">
        <f>MROUND(ROUND(Tableau6[[#This Row],[baseLife]]*0.5,0),4)</f>
        <v>0</v>
      </c>
      <c r="I10">
        <f>ROUND(Tableau6[[#This Row],[baseDef]]*1,0)</f>
        <v>15</v>
      </c>
      <c r="J10">
        <f>MROUND(ROUND(Tableau6[[#This Row],[baseLife]],0),4)</f>
        <v>0</v>
      </c>
      <c r="L10">
        <f>ROUND(Tableau6[[#This Row],[baseDef]]*1.5,0)</f>
        <v>23</v>
      </c>
      <c r="M10">
        <f>MROUND(ROUND(Tableau6[[#This Row],[baseLife]]*1.5,0),4)</f>
        <v>0</v>
      </c>
      <c r="O10">
        <f>ROUND(Tableau6[[#This Row],[baseDef]]*0.75,0)</f>
        <v>11</v>
      </c>
      <c r="P10">
        <f>MROUND(ROUND(Tableau6[[#This Row],[baseLife]]*0.75,0),4)</f>
        <v>0</v>
      </c>
    </row>
    <row r="11" spans="1:16" x14ac:dyDescent="0.3">
      <c r="A11" s="3" t="s">
        <v>135</v>
      </c>
      <c r="B11">
        <v>5</v>
      </c>
      <c r="C11">
        <v>8</v>
      </c>
      <c r="F11">
        <f>ROUND(Tableau6[[#This Row],[baseDef]]*0.5,0)</f>
        <v>3</v>
      </c>
      <c r="G11">
        <f>MROUND(ROUND(Tableau6[[#This Row],[baseLife]]*0.5,0),4)</f>
        <v>4</v>
      </c>
      <c r="I11">
        <f>ROUND(Tableau6[[#This Row],[baseDef]]*1,0)</f>
        <v>5</v>
      </c>
      <c r="J11">
        <f>MROUND(ROUND(Tableau6[[#This Row],[baseLife]],0),4)</f>
        <v>8</v>
      </c>
      <c r="L11">
        <f>ROUND(Tableau6[[#This Row],[baseDef]]*1.5,0)</f>
        <v>8</v>
      </c>
      <c r="M11">
        <f>MROUND(ROUND(Tableau6[[#This Row],[baseLife]]*1.5,0),4)</f>
        <v>12</v>
      </c>
      <c r="O11">
        <f>ROUND(Tableau6[[#This Row],[baseDef]]*0.75,0)</f>
        <v>4</v>
      </c>
      <c r="P11">
        <f>MROUND(ROUND(Tableau6[[#This Row],[baseLife]]*0.75,0),4)</f>
        <v>8</v>
      </c>
    </row>
    <row r="12" spans="1:16" x14ac:dyDescent="0.3">
      <c r="A12" s="2" t="s">
        <v>136</v>
      </c>
      <c r="B12">
        <v>8</v>
      </c>
      <c r="C12">
        <v>12</v>
      </c>
      <c r="F12">
        <f>ROUND(Tableau6[[#This Row],[baseDef]]*0.5,0)</f>
        <v>4</v>
      </c>
      <c r="G12">
        <f>MROUND(ROUND(Tableau6[[#This Row],[baseLife]]*0.5,0),4)</f>
        <v>8</v>
      </c>
      <c r="I12">
        <f>ROUND(Tableau6[[#This Row],[baseDef]]*1,0)</f>
        <v>8</v>
      </c>
      <c r="J12">
        <f>MROUND(ROUND(Tableau6[[#This Row],[baseLife]],0),4)</f>
        <v>12</v>
      </c>
      <c r="L12">
        <f>ROUND(Tableau6[[#This Row],[baseDef]]*1.5,0)</f>
        <v>12</v>
      </c>
      <c r="M12">
        <f>MROUND(ROUND(Tableau6[[#This Row],[baseLife]]*1.5,0),4)</f>
        <v>20</v>
      </c>
      <c r="O12">
        <f>ROUND(Tableau6[[#This Row],[baseDef]]*0.75,0)</f>
        <v>6</v>
      </c>
      <c r="P12">
        <f>MROUND(ROUND(Tableau6[[#This Row],[baseLife]]*0.75,0),4)</f>
        <v>8</v>
      </c>
    </row>
    <row r="13" spans="1:16" x14ac:dyDescent="0.3">
      <c r="A13" s="2" t="s">
        <v>124</v>
      </c>
      <c r="B13">
        <v>18</v>
      </c>
      <c r="C13">
        <v>16</v>
      </c>
      <c r="F13">
        <f>ROUND(Tableau6[[#This Row],[baseDef]]*0.5,0)</f>
        <v>9</v>
      </c>
      <c r="G13">
        <f>MROUND(ROUND(Tableau6[[#This Row],[baseLife]]*0.5,0),4)</f>
        <v>8</v>
      </c>
      <c r="I13">
        <f>ROUND(Tableau6[[#This Row],[baseDef]]*1,0)</f>
        <v>18</v>
      </c>
      <c r="J13">
        <f>MROUND(ROUND(Tableau6[[#This Row],[baseLife]],0),4)</f>
        <v>16</v>
      </c>
      <c r="L13">
        <f>ROUND(Tableau6[[#This Row],[baseDef]]*1.5,0)</f>
        <v>27</v>
      </c>
      <c r="M13">
        <f>MROUND(ROUND(Tableau6[[#This Row],[baseLife]]*1.5,0),4)</f>
        <v>24</v>
      </c>
      <c r="O13">
        <f>ROUND(Tableau6[[#This Row],[baseDef]]*0.75,0)</f>
        <v>14</v>
      </c>
      <c r="P13">
        <f>MROUND(ROUND(Tableau6[[#This Row],[baseLife]]*0.75,0),4)</f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Weapons</vt:lpstr>
      <vt:lpstr>Boots</vt:lpstr>
      <vt:lpstr>Leggings</vt:lpstr>
      <vt:lpstr>Chestplates</vt:lpstr>
      <vt:lpstr>Helmets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Fernandez Samuel</cp:lastModifiedBy>
  <dcterms:created xsi:type="dcterms:W3CDTF">2026-07-06T12:46:48Z</dcterms:created>
  <dcterms:modified xsi:type="dcterms:W3CDTF">2026-07-12T22:02:43Z</dcterms:modified>
</cp:coreProperties>
</file>